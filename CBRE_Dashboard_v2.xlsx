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76" firstSheet="0" activeTab="3" autoFilterDateGrouping="1"/>
  </bookViews>
  <sheets>
    <sheet xmlns:r="http://schemas.openxmlformats.org/officeDocument/2006/relationships" name="Office_Leasing" sheetId="1" state="visible" r:id="rId1"/>
    <sheet xmlns:r="http://schemas.openxmlformats.org/officeDocument/2006/relationships" name="Residential" sheetId="2" state="visible" r:id="rId2"/>
    <sheet xmlns:r="http://schemas.openxmlformats.org/officeDocument/2006/relationships" name="Vacancy_Rental" sheetId="3" state="visible" r:id="rId3"/>
    <sheet xmlns:r="http://schemas.openxmlformats.org/officeDocument/2006/relationships" name="Early_Warning" sheetId="4" state="visible" r:id="rId4"/>
    <sheet xmlns:r="http://schemas.openxmlformats.org/officeDocument/2006/relationships" name="KPI_Cards" sheetId="5" state="visible" r:id="rId5"/>
    <sheet xmlns:r="http://schemas.openxmlformats.org/officeDocument/2006/relationships" name="LEGEND" sheetId="6" state="visible" r:id="rId6"/>
    <sheet xmlns:r="http://schemas.openxmlformats.org/officeDocument/2006/relationships" name="Sheet1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i val="1"/>
      <color rgb="FF555555"/>
      <sz val="8"/>
    </font>
    <font>
      <name val="Arial"/>
      <charset val="1"/>
      <i val="1"/>
      <color rgb="FF1B3A5C"/>
      <sz val="8"/>
    </font>
    <font>
      <name val="Arial"/>
      <charset val="1"/>
      <b val="1"/>
      <color rgb="FFFFFFFF"/>
      <sz val="10"/>
    </font>
    <font>
      <name val="Arial"/>
      <charset val="1"/>
      <b val="1"/>
      <color rgb="FF1B3A5C"/>
      <sz val="10"/>
    </font>
    <font>
      <name val="Arial"/>
      <charset val="1"/>
      <color rgb="FF1F2D3D"/>
      <sz val="10"/>
    </font>
    <font>
      <name val="Arial"/>
      <charset val="1"/>
      <color rgb="FF1B3A5C"/>
      <sz val="10"/>
    </font>
    <font>
      <name val="Arial"/>
      <charset val="1"/>
      <b val="1"/>
      <color rgb="FF276749"/>
      <sz val="10"/>
    </font>
    <font>
      <name val="Arial"/>
      <charset val="1"/>
      <color rgb="FFC53030"/>
      <sz val="10"/>
    </font>
    <font>
      <name val="Arial"/>
      <charset val="1"/>
      <color rgb="FF276749"/>
      <sz val="10"/>
    </font>
    <font>
      <name val="Arial"/>
      <charset val="1"/>
      <b val="1"/>
      <color rgb="FFC53030"/>
      <sz val="10"/>
    </font>
  </fonts>
  <fills count="13">
    <fill>
      <patternFill/>
    </fill>
    <fill>
      <patternFill patternType="gray125"/>
    </fill>
    <fill>
      <patternFill patternType="solid">
        <fgColor rgb="FF1B3A5C"/>
        <bgColor rgb="FF1F2D3D"/>
      </patternFill>
    </fill>
    <fill>
      <patternFill patternType="solid">
        <fgColor rgb="FFF8F9FA"/>
        <bgColor rgb="FFF2F7FC"/>
      </patternFill>
    </fill>
    <fill>
      <patternFill patternType="solid">
        <fgColor rgb="FFFFF8E7"/>
        <bgColor rgb="FFFFF0F0"/>
      </patternFill>
    </fill>
    <fill>
      <patternFill patternType="solid">
        <fgColor rgb="FF006747"/>
        <bgColor rgb="FF276749"/>
      </patternFill>
    </fill>
    <fill>
      <patternFill patternType="solid">
        <fgColor rgb="FFC9A84C"/>
        <bgColor rgb="FFFF9900"/>
      </patternFill>
    </fill>
    <fill>
      <patternFill patternType="solid">
        <fgColor rgb="FFFFFFFF"/>
        <bgColor rgb="FFF8F9FA"/>
      </patternFill>
    </fill>
    <fill>
      <patternFill patternType="solid">
        <fgColor rgb="FFE8F4FD"/>
        <bgColor rgb="FFEBF5FF"/>
      </patternFill>
    </fill>
    <fill>
      <patternFill patternType="solid">
        <fgColor rgb="FFEBF5FF"/>
        <bgColor rgb="FFE8F4FD"/>
      </patternFill>
    </fill>
    <fill>
      <patternFill patternType="solid">
        <fgColor rgb="FFF2F7FC"/>
        <bgColor rgb="FFF8F9FA"/>
      </patternFill>
    </fill>
    <fill>
      <patternFill patternType="solid">
        <fgColor rgb="FFE8F5EE"/>
        <bgColor rgb="FFE8F4FD"/>
      </patternFill>
    </fill>
    <fill>
      <patternFill patternType="solid">
        <fgColor rgb="FFFFF0F0"/>
        <bgColor rgb="FFFFF8E7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747"/>
      <rgbColor rgb="FFF8F9FA"/>
      <rgbColor rgb="FF808080"/>
      <rgbColor rgb="FF9999FF"/>
      <rgbColor rgb="FF993366"/>
      <rgbColor rgb="FFFFF8E7"/>
      <rgbColor rgb="FFE8F4F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E8F5EE"/>
      <rgbColor rgb="FFEBF5FF"/>
      <rgbColor rgb="FFFFF0F0"/>
      <rgbColor rgb="FF99CCFF"/>
      <rgbColor rgb="FFFF99CC"/>
      <rgbColor rgb="FFCC99FF"/>
      <rgbColor rgb="FFF2F7FC"/>
      <rgbColor rgb="FF3366FF"/>
      <rgbColor rgb="FF33CCCC"/>
      <rgbColor rgb="FF99CC00"/>
      <rgbColor rgb="FFFFCC00"/>
      <rgbColor rgb="FFFF9900"/>
      <rgbColor rgb="FFFF6600"/>
      <rgbColor rgb="FF555555"/>
      <rgbColor rgb="FFC9A84C"/>
      <rgbColor rgb="FF1B3A5C"/>
      <rgbColor rgb="FF339966"/>
      <rgbColor rgb="FF003300"/>
      <rgbColor rgb="FF333300"/>
      <rgbColor rgb="FFC5303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4"/>
  <sheetViews>
    <sheetView showGridLines="0" topLeftCell="A4" zoomScaleNormal="100" workbookViewId="0">
      <selection activeCell="N16" sqref="N16"/>
    </sheetView>
  </sheetViews>
  <sheetFormatPr baseColWidth="8" defaultColWidth="8.6640625" defaultRowHeight="14.4"/>
  <cols>
    <col width="2" customWidth="1" min="1" max="1"/>
    <col width="12" customWidth="1" min="2" max="2"/>
    <col width="20" customWidth="1" min="3" max="3"/>
    <col width="14" customWidth="1" min="4" max="4"/>
    <col width="20" customWidth="1" min="5" max="5"/>
    <col width="14" customWidth="1" min="6" max="6"/>
    <col width="16" customWidth="1" min="7" max="10"/>
    <col width="2" customWidth="1" min="11" max="11"/>
  </cols>
  <sheetData>
    <row r="1" ht="36" customHeight="1">
      <c r="B1" s="23" t="inlineStr">
        <is>
          <t>OFFICE LEASING TRACKER + CALCULATED COLUMNS</t>
        </is>
      </c>
    </row>
    <row r="2" ht="18" customHeight="1">
      <c r="B2" s="24" t="inlineStr">
        <is>
          <t>Source: CBRE India Q1 2026 | C&amp;W NCR MarketBeat | Gold columns = Calculated Fields for Tableau</t>
        </is>
      </c>
    </row>
    <row r="3">
      <c r="B3" s="25" t="inlineStr">
        <is>
          <t>📌 Gold columns = Calculated. Use these as Tableau Calculated Fields for KPI cards and complex charts.</t>
        </is>
      </c>
    </row>
    <row r="4" ht="26.4" customHeight="1">
      <c r="B4" s="1" t="inlineStr">
        <is>
          <t>Quarter</t>
        </is>
      </c>
      <c r="C4" s="1" t="inlineStr">
        <is>
          <t>Corridor</t>
        </is>
      </c>
      <c r="D4" s="1" t="inlineStr">
        <is>
          <t>Leasing (MSF)</t>
        </is>
      </c>
      <c r="E4" s="1" t="inlineStr">
        <is>
          <t>Primary Sector</t>
        </is>
      </c>
      <c r="F4" s="1" t="inlineStr">
        <is>
          <t>YoY Growth (%)</t>
        </is>
      </c>
      <c r="G4" s="2" t="inlineStr">
        <is>
          <t>Prev Q Leasing (MSF)</t>
        </is>
      </c>
      <c r="H4" s="2" t="inlineStr">
        <is>
          <t>Leasing Momentum (%)</t>
        </is>
      </c>
      <c r="I4" s="2" t="inlineStr">
        <is>
          <t>Cumulative Leasing (MSF)</t>
        </is>
      </c>
      <c r="J4" s="2" t="inlineStr">
        <is>
          <t>Corridor Rank</t>
        </is>
      </c>
    </row>
    <row r="5" ht="15.75" customHeight="1">
      <c r="B5" s="3" t="inlineStr">
        <is>
          <t>Q1 2025</t>
        </is>
      </c>
      <c r="C5" s="4" t="inlineStr">
        <is>
          <t>Cyber City</t>
        </is>
      </c>
      <c r="D5" s="3" t="n">
        <v>1.2</v>
      </c>
      <c r="E5" s="5" t="inlineStr">
        <is>
          <t>IT-BPM</t>
        </is>
      </c>
      <c r="F5" s="3" t="n">
        <v>12</v>
      </c>
      <c r="G5" s="6" t="inlineStr">
        <is>
          <t>N/A</t>
        </is>
      </c>
      <c r="H5" s="6" t="inlineStr">
        <is>
          <t>N/A</t>
        </is>
      </c>
      <c r="I5" s="6">
        <f>SUM($D$5:D5)</f>
        <v/>
      </c>
      <c r="J5" s="6">
        <f>RANK(D5,$D$5:$D$24,0)</f>
        <v/>
      </c>
    </row>
    <row r="6" ht="15.75" customHeight="1">
      <c r="B6" s="7" t="inlineStr">
        <is>
          <t>Q1 2025</t>
        </is>
      </c>
      <c r="C6" s="8" t="inlineStr">
        <is>
          <t>NH-8 Corridor</t>
        </is>
      </c>
      <c r="D6" s="7" t="n">
        <v>0.8</v>
      </c>
      <c r="E6" s="9" t="inlineStr">
        <is>
          <t>GCC</t>
        </is>
      </c>
      <c r="F6" s="7" t="n">
        <v>18</v>
      </c>
      <c r="G6" s="6" t="inlineStr">
        <is>
          <t>N/A</t>
        </is>
      </c>
      <c r="H6" s="6" t="inlineStr">
        <is>
          <t>N/A</t>
        </is>
      </c>
      <c r="I6" s="6">
        <f>SUM($D$5:D6)</f>
        <v/>
      </c>
      <c r="J6" s="6">
        <f>RANK(D6,$D$5:$D$24,0)</f>
        <v/>
      </c>
    </row>
    <row r="7" ht="15.75" customHeight="1">
      <c r="B7" s="3" t="inlineStr">
        <is>
          <t>Q1 2025</t>
        </is>
      </c>
      <c r="C7" s="4" t="inlineStr">
        <is>
          <t>DLF Cyber Hub</t>
        </is>
      </c>
      <c r="D7" s="3" t="n">
        <v>0.6</v>
      </c>
      <c r="E7" s="10" t="inlineStr">
        <is>
          <t>BFSI</t>
        </is>
      </c>
      <c r="F7" s="3" t="n">
        <v>8</v>
      </c>
      <c r="G7" s="6" t="inlineStr">
        <is>
          <t>N/A</t>
        </is>
      </c>
      <c r="H7" s="6" t="inlineStr">
        <is>
          <t>N/A</t>
        </is>
      </c>
      <c r="I7" s="6">
        <f>SUM($D$5:D7)</f>
        <v/>
      </c>
      <c r="J7" s="6">
        <f>RANK(D7,$D$5:$D$24,0)</f>
        <v/>
      </c>
    </row>
    <row r="8" ht="15.75" customHeight="1">
      <c r="B8" s="7" t="inlineStr">
        <is>
          <t>Q1 2025</t>
        </is>
      </c>
      <c r="C8" s="8" t="inlineStr">
        <is>
          <t>Noida Expressway</t>
        </is>
      </c>
      <c r="D8" s="7" t="n">
        <v>0.5</v>
      </c>
      <c r="E8" s="11" t="inlineStr">
        <is>
          <t>Engineering</t>
        </is>
      </c>
      <c r="F8" s="7" t="n">
        <v>15</v>
      </c>
      <c r="G8" s="6" t="inlineStr">
        <is>
          <t>N/A</t>
        </is>
      </c>
      <c r="H8" s="6" t="inlineStr">
        <is>
          <t>N/A</t>
        </is>
      </c>
      <c r="I8" s="6">
        <f>SUM($D$5:D8)</f>
        <v/>
      </c>
      <c r="J8" s="6">
        <f>RANK(D8,$D$5:$D$24,0)</f>
        <v/>
      </c>
    </row>
    <row r="9" ht="15.75" customHeight="1">
      <c r="B9" s="3" t="inlineStr">
        <is>
          <t>Q2 2025</t>
        </is>
      </c>
      <c r="C9" s="4" t="inlineStr">
        <is>
          <t>Cyber City</t>
        </is>
      </c>
      <c r="D9" s="3" t="n">
        <v>1.4</v>
      </c>
      <c r="E9" s="5" t="inlineStr">
        <is>
          <t>IT-BPM</t>
        </is>
      </c>
      <c r="F9" s="3" t="n">
        <v>16</v>
      </c>
      <c r="G9" s="6" t="n">
        <v>1.2</v>
      </c>
      <c r="H9" s="6" t="n">
        <v>16.7</v>
      </c>
      <c r="I9" s="6">
        <f>SUM($D$5:D9)</f>
        <v/>
      </c>
      <c r="J9" s="6">
        <f>RANK(D9,$D$5:$D$24,0)</f>
        <v/>
      </c>
    </row>
    <row r="10" ht="15.75" customHeight="1">
      <c r="B10" s="7" t="inlineStr">
        <is>
          <t>Q2 2025</t>
        </is>
      </c>
      <c r="C10" s="8" t="inlineStr">
        <is>
          <t>NH-8 Corridor</t>
        </is>
      </c>
      <c r="D10" s="7" t="n">
        <v>0.9</v>
      </c>
      <c r="E10" s="9" t="inlineStr">
        <is>
          <t>GCC</t>
        </is>
      </c>
      <c r="F10" s="7" t="n">
        <v>22</v>
      </c>
      <c r="G10" s="6" t="n">
        <v>0.8</v>
      </c>
      <c r="H10" s="6" t="n">
        <v>12.5</v>
      </c>
      <c r="I10" s="6">
        <f>SUM($D$5:D10)</f>
        <v/>
      </c>
      <c r="J10" s="6">
        <f>RANK(D10,$D$5:$D$24,0)</f>
        <v/>
      </c>
    </row>
    <row r="11" ht="15.75" customHeight="1">
      <c r="B11" s="3" t="inlineStr">
        <is>
          <t>Q2 2025</t>
        </is>
      </c>
      <c r="C11" s="4" t="inlineStr">
        <is>
          <t>DLF Cyber Hub</t>
        </is>
      </c>
      <c r="D11" s="3" t="n">
        <v>0.7</v>
      </c>
      <c r="E11" s="10" t="inlineStr">
        <is>
          <t>BFSI</t>
        </is>
      </c>
      <c r="F11" s="3" t="n">
        <v>10</v>
      </c>
      <c r="G11" s="6" t="n">
        <v>0.6</v>
      </c>
      <c r="H11" s="6" t="n">
        <v>16.7</v>
      </c>
      <c r="I11" s="6">
        <f>SUM($D$5:D11)</f>
        <v/>
      </c>
      <c r="J11" s="6">
        <f>RANK(D11,$D$5:$D$24,0)</f>
        <v/>
      </c>
    </row>
    <row r="12" ht="15.75" customHeight="1">
      <c r="B12" s="7" t="inlineStr">
        <is>
          <t>Q2 2025</t>
        </is>
      </c>
      <c r="C12" s="8" t="inlineStr">
        <is>
          <t>Noida Expressway</t>
        </is>
      </c>
      <c r="D12" s="7" t="n">
        <v>0.6</v>
      </c>
      <c r="E12" s="11" t="inlineStr">
        <is>
          <t>Engineering</t>
        </is>
      </c>
      <c r="F12" s="7" t="n">
        <v>18</v>
      </c>
      <c r="G12" s="6" t="n">
        <v>0.5</v>
      </c>
      <c r="H12" s="6" t="n">
        <v>20</v>
      </c>
      <c r="I12" s="6">
        <f>SUM($D$5:D12)</f>
        <v/>
      </c>
      <c r="J12" s="6">
        <f>RANK(D12,$D$5:$D$24,0)</f>
        <v/>
      </c>
    </row>
    <row r="13" ht="15.75" customHeight="1">
      <c r="B13" s="3" t="inlineStr">
        <is>
          <t>Q3 2025</t>
        </is>
      </c>
      <c r="C13" s="4" t="inlineStr">
        <is>
          <t>Cyber City</t>
        </is>
      </c>
      <c r="D13" s="3" t="n">
        <v>1.6</v>
      </c>
      <c r="E13" s="5" t="inlineStr">
        <is>
          <t>IT-BPM</t>
        </is>
      </c>
      <c r="F13" s="3" t="n">
        <v>20</v>
      </c>
      <c r="G13" s="6" t="n">
        <v>1.4</v>
      </c>
      <c r="H13" s="6" t="n">
        <v>14.3</v>
      </c>
      <c r="I13" s="6">
        <f>SUM($D$5:D13)</f>
        <v/>
      </c>
      <c r="J13" s="6">
        <f>RANK(D13,$D$5:$D$24,0)</f>
        <v/>
      </c>
    </row>
    <row r="14" ht="15.75" customHeight="1">
      <c r="B14" s="7" t="inlineStr">
        <is>
          <t>Q3 2025</t>
        </is>
      </c>
      <c r="C14" s="8" t="inlineStr">
        <is>
          <t>NH-8 Corridor</t>
        </is>
      </c>
      <c r="D14" s="7" t="n">
        <v>1.1</v>
      </c>
      <c r="E14" s="9" t="inlineStr">
        <is>
          <t>GCC</t>
        </is>
      </c>
      <c r="F14" s="7" t="n">
        <v>25</v>
      </c>
      <c r="G14" s="6" t="n">
        <v>0.9</v>
      </c>
      <c r="H14" s="6" t="n">
        <v>22.2</v>
      </c>
      <c r="I14" s="6">
        <f>SUM($D$5:D14)</f>
        <v/>
      </c>
      <c r="J14" s="6">
        <f>RANK(D14,$D$5:$D$24,0)</f>
        <v/>
      </c>
    </row>
    <row r="15" ht="15.75" customHeight="1">
      <c r="B15" s="3" t="inlineStr">
        <is>
          <t>Q3 2025</t>
        </is>
      </c>
      <c r="C15" s="4" t="inlineStr">
        <is>
          <t>DLF Cyber Hub</t>
        </is>
      </c>
      <c r="D15" s="3" t="n">
        <v>0.8</v>
      </c>
      <c r="E15" s="10" t="inlineStr">
        <is>
          <t>BFSI</t>
        </is>
      </c>
      <c r="F15" s="3" t="n">
        <v>12</v>
      </c>
      <c r="G15" s="6" t="n">
        <v>0.7</v>
      </c>
      <c r="H15" s="6" t="n">
        <v>14.3</v>
      </c>
      <c r="I15" s="6">
        <f>SUM($D$5:D15)</f>
        <v/>
      </c>
      <c r="J15" s="6">
        <f>RANK(D15,$D$5:$D$24,0)</f>
        <v/>
      </c>
    </row>
    <row r="16" ht="15.75" customHeight="1">
      <c r="B16" s="7" t="inlineStr">
        <is>
          <t>Q3 2025</t>
        </is>
      </c>
      <c r="C16" s="8" t="inlineStr">
        <is>
          <t>Noida Expressway</t>
        </is>
      </c>
      <c r="D16" s="7" t="n">
        <v>0.7</v>
      </c>
      <c r="E16" s="11" t="inlineStr">
        <is>
          <t>Engineering</t>
        </is>
      </c>
      <c r="F16" s="7" t="n">
        <v>20</v>
      </c>
      <c r="G16" s="6" t="n">
        <v>0.6</v>
      </c>
      <c r="H16" s="6" t="n">
        <v>16.7</v>
      </c>
      <c r="I16" s="6">
        <f>SUM($D$5:D16)</f>
        <v/>
      </c>
      <c r="J16" s="6">
        <f>RANK(D16,$D$5:$D$24,0)</f>
        <v/>
      </c>
    </row>
    <row r="17" ht="15.75" customHeight="1">
      <c r="B17" s="3" t="inlineStr">
        <is>
          <t>Q4 2025</t>
        </is>
      </c>
      <c r="C17" s="4" t="inlineStr">
        <is>
          <t>Cyber City</t>
        </is>
      </c>
      <c r="D17" s="3" t="n">
        <v>1.8</v>
      </c>
      <c r="E17" s="5" t="inlineStr">
        <is>
          <t>IT-BPM</t>
        </is>
      </c>
      <c r="F17" s="3" t="n">
        <v>24</v>
      </c>
      <c r="G17" s="6" t="n">
        <v>1.6</v>
      </c>
      <c r="H17" s="6" t="n">
        <v>12.5</v>
      </c>
      <c r="I17" s="6">
        <f>SUM($D$5:D17)</f>
        <v/>
      </c>
      <c r="J17" s="6">
        <f>RANK(D17,$D$5:$D$24,0)</f>
        <v/>
      </c>
    </row>
    <row r="18" ht="15.75" customHeight="1">
      <c r="B18" s="7" t="inlineStr">
        <is>
          <t>Q4 2025</t>
        </is>
      </c>
      <c r="C18" s="8" t="inlineStr">
        <is>
          <t>NH-8 Corridor</t>
        </is>
      </c>
      <c r="D18" s="7" t="n">
        <v>1.3</v>
      </c>
      <c r="E18" s="9" t="inlineStr">
        <is>
          <t>GCC</t>
        </is>
      </c>
      <c r="F18" s="7" t="n">
        <v>28</v>
      </c>
      <c r="G18" s="6" t="n">
        <v>1.1</v>
      </c>
      <c r="H18" s="6" t="n">
        <v>18.2</v>
      </c>
      <c r="I18" s="6">
        <f>SUM($D$5:D18)</f>
        <v/>
      </c>
      <c r="J18" s="6">
        <f>RANK(D18,$D$5:$D$24,0)</f>
        <v/>
      </c>
    </row>
    <row r="19" ht="15.75" customHeight="1">
      <c r="B19" s="3" t="inlineStr">
        <is>
          <t>Q4 2025</t>
        </is>
      </c>
      <c r="C19" s="4" t="inlineStr">
        <is>
          <t>DLF Cyber Hub</t>
        </is>
      </c>
      <c r="D19" s="3" t="n">
        <v>0.9</v>
      </c>
      <c r="E19" s="10" t="inlineStr">
        <is>
          <t>BFSI</t>
        </is>
      </c>
      <c r="F19" s="3" t="n">
        <v>15</v>
      </c>
      <c r="G19" s="6" t="n">
        <v>0.8</v>
      </c>
      <c r="H19" s="6" t="n">
        <v>12.5</v>
      </c>
      <c r="I19" s="6">
        <f>SUM($D$5:D19)</f>
        <v/>
      </c>
      <c r="J19" s="6">
        <f>RANK(D19,$D$5:$D$24,0)</f>
        <v/>
      </c>
    </row>
    <row r="20" ht="15.75" customHeight="1">
      <c r="B20" s="7" t="inlineStr">
        <is>
          <t>Q4 2025</t>
        </is>
      </c>
      <c r="C20" s="8" t="inlineStr">
        <is>
          <t>Noida Expressway</t>
        </is>
      </c>
      <c r="D20" s="7" t="n">
        <v>0.8</v>
      </c>
      <c r="E20" s="11" t="inlineStr">
        <is>
          <t>Engineering</t>
        </is>
      </c>
      <c r="F20" s="7" t="n">
        <v>22</v>
      </c>
      <c r="G20" s="6" t="n">
        <v>0.7</v>
      </c>
      <c r="H20" s="6" t="n">
        <v>14.3</v>
      </c>
      <c r="I20" s="6">
        <f>SUM($D$5:D20)</f>
        <v/>
      </c>
      <c r="J20" s="6">
        <f>RANK(D20,$D$5:$D$24,0)</f>
        <v/>
      </c>
    </row>
    <row r="21" ht="15.75" customHeight="1">
      <c r="B21" s="3" t="inlineStr">
        <is>
          <t>Q1 2026</t>
        </is>
      </c>
      <c r="C21" s="4" t="inlineStr">
        <is>
          <t>Cyber City</t>
        </is>
      </c>
      <c r="D21" s="3" t="n">
        <v>1.9</v>
      </c>
      <c r="E21" s="5" t="inlineStr">
        <is>
          <t>IT-BPM</t>
        </is>
      </c>
      <c r="F21" s="3" t="n">
        <v>26</v>
      </c>
      <c r="G21" s="6" t="n">
        <v>1.8</v>
      </c>
      <c r="H21" s="6" t="n">
        <v>5.6</v>
      </c>
      <c r="I21" s="6">
        <f>SUM($D$5:D21)</f>
        <v/>
      </c>
      <c r="J21" s="6">
        <f>RANK(D21,$D$5:$D$24,0)</f>
        <v/>
      </c>
    </row>
    <row r="22" ht="15.75" customHeight="1">
      <c r="B22" s="7" t="inlineStr">
        <is>
          <t>Q1 2026</t>
        </is>
      </c>
      <c r="C22" s="8" t="inlineStr">
        <is>
          <t>NH-8 Corridor</t>
        </is>
      </c>
      <c r="D22" s="7" t="n">
        <v>1.4</v>
      </c>
      <c r="E22" s="9" t="inlineStr">
        <is>
          <t>GCC</t>
        </is>
      </c>
      <c r="F22" s="7" t="n">
        <v>30</v>
      </c>
      <c r="G22" s="6" t="n">
        <v>1.3</v>
      </c>
      <c r="H22" s="6" t="n">
        <v>7.7</v>
      </c>
      <c r="I22" s="6">
        <f>SUM($D$5:D22)</f>
        <v/>
      </c>
      <c r="J22" s="6">
        <f>RANK(D22,$D$5:$D$24,0)</f>
        <v/>
      </c>
    </row>
    <row r="23" ht="15.75" customHeight="1">
      <c r="B23" s="3" t="inlineStr">
        <is>
          <t>Q1 2026</t>
        </is>
      </c>
      <c r="C23" s="4" t="inlineStr">
        <is>
          <t>DLF Cyber Hub</t>
        </is>
      </c>
      <c r="D23" s="3" t="n">
        <v>1</v>
      </c>
      <c r="E23" s="10" t="inlineStr">
        <is>
          <t>BFSI</t>
        </is>
      </c>
      <c r="F23" s="3" t="n">
        <v>18</v>
      </c>
      <c r="G23" s="6" t="n">
        <v>0.9</v>
      </c>
      <c r="H23" s="6" t="n">
        <v>11.1</v>
      </c>
      <c r="I23" s="6">
        <f>SUM($D$5:D23)</f>
        <v/>
      </c>
      <c r="J23" s="6">
        <f>RANK(D23,$D$5:$D$24,0)</f>
        <v/>
      </c>
    </row>
    <row r="24" ht="15.75" customHeight="1">
      <c r="B24" s="7" t="inlineStr">
        <is>
          <t>Q1 2026</t>
        </is>
      </c>
      <c r="C24" s="8" t="inlineStr">
        <is>
          <t>Noida Expressway</t>
        </is>
      </c>
      <c r="D24" s="7" t="n">
        <v>0.9</v>
      </c>
      <c r="E24" s="11" t="inlineStr">
        <is>
          <t>Engineering</t>
        </is>
      </c>
      <c r="F24" s="7" t="n">
        <v>25</v>
      </c>
      <c r="G24" s="6" t="n">
        <v>0.8</v>
      </c>
      <c r="H24" s="6" t="n">
        <v>12.5</v>
      </c>
      <c r="I24" s="6">
        <f>SUM($D$5:D24)</f>
        <v/>
      </c>
      <c r="J24" s="6">
        <f>RANK(D24,$D$5:$D$24,0)</f>
        <v/>
      </c>
    </row>
  </sheetData>
  <mergeCells count="3">
    <mergeCell ref="B1:J1"/>
    <mergeCell ref="B3:J3"/>
    <mergeCell ref="B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4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" customWidth="1" min="1" max="1"/>
    <col width="12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  <col width="16" customWidth="1" min="8" max="10"/>
    <col width="2" customWidth="1" min="11" max="11"/>
  </cols>
  <sheetData>
    <row r="1" ht="36" customHeight="1">
      <c r="B1" s="23" t="inlineStr">
        <is>
          <t>RESIDENTIAL MICRO-MARKET + CALCULATED COLUMNS</t>
        </is>
      </c>
    </row>
    <row r="2" ht="18" customHeight="1">
      <c r="B2" s="24" t="inlineStr">
        <is>
          <t>Source: CBRE India Residential Outlook 2026 | Gold = Calculated Fields</t>
        </is>
      </c>
    </row>
    <row r="3">
      <c r="B3" s="25" t="inlineStr">
        <is>
          <t>📌 Gold columns = Calculated. Price Appreciation uses Q1 2025 as base. Affordability Tier groups markets for heat map.</t>
        </is>
      </c>
    </row>
    <row r="4" ht="26.4" customHeight="1">
      <c r="B4" s="1" t="inlineStr">
        <is>
          <t>Quarter</t>
        </is>
      </c>
      <c r="C4" s="1" t="inlineStr">
        <is>
          <t>Micro-Market</t>
        </is>
      </c>
      <c r="D4" s="1" t="inlineStr">
        <is>
          <t>Avg Price (Rs/sqft)</t>
        </is>
      </c>
      <c r="E4" s="1" t="inlineStr">
        <is>
          <t>Units Launched</t>
        </is>
      </c>
      <c r="F4" s="1" t="inlineStr">
        <is>
          <t>Segment</t>
        </is>
      </c>
      <c r="G4" s="1" t="inlineStr">
        <is>
          <t>Affordability Index</t>
        </is>
      </c>
      <c r="H4" s="2" t="inlineStr">
        <is>
          <t>Price Appreciation (%)</t>
        </is>
      </c>
      <c r="I4" s="2" t="inlineStr">
        <is>
          <t>Affordability Tier</t>
        </is>
      </c>
      <c r="J4" s="2" t="inlineStr">
        <is>
          <t>Demand Score</t>
        </is>
      </c>
    </row>
    <row r="5" ht="15.75" customHeight="1">
      <c r="B5" s="3" t="inlineStr">
        <is>
          <t>Q1 2025</t>
        </is>
      </c>
      <c r="C5" s="4" t="inlineStr">
        <is>
          <t>Dwarka Expressway</t>
        </is>
      </c>
      <c r="D5" s="3" t="n">
        <v>14000</v>
      </c>
      <c r="E5" s="3" t="n">
        <v>1200</v>
      </c>
      <c r="F5" s="10" t="inlineStr">
        <is>
          <t>Luxury</t>
        </is>
      </c>
      <c r="G5" s="3" t="n">
        <v>62</v>
      </c>
      <c r="H5" s="6" t="n">
        <v>0</v>
      </c>
      <c r="I5" s="12" t="inlineStr">
        <is>
          <t>Moderate</t>
        </is>
      </c>
      <c r="J5" s="6" t="n">
        <v>744</v>
      </c>
    </row>
    <row r="6" ht="15.75" customHeight="1">
      <c r="B6" s="7" t="inlineStr">
        <is>
          <t>Q1 2025</t>
        </is>
      </c>
      <c r="C6" s="8" t="inlineStr">
        <is>
          <t>Manesar</t>
        </is>
      </c>
      <c r="D6" s="7" t="n">
        <v>8500</v>
      </c>
      <c r="E6" s="7" t="n">
        <v>800</v>
      </c>
      <c r="F6" s="9" t="inlineStr">
        <is>
          <t>Mid-Segment</t>
        </is>
      </c>
      <c r="G6" s="7" t="n">
        <v>78</v>
      </c>
      <c r="H6" s="6" t="n">
        <v>0</v>
      </c>
      <c r="I6" s="13" t="inlineStr">
        <is>
          <t>Affordable</t>
        </is>
      </c>
      <c r="J6" s="6" t="n">
        <v>624</v>
      </c>
    </row>
    <row r="7" ht="15.75" customHeight="1">
      <c r="B7" s="3" t="inlineStr">
        <is>
          <t>Q1 2025</t>
        </is>
      </c>
      <c r="C7" s="4" t="inlineStr">
        <is>
          <t>New Gurgaon</t>
        </is>
      </c>
      <c r="D7" s="3" t="n">
        <v>11000</v>
      </c>
      <c r="E7" s="3" t="n">
        <v>600</v>
      </c>
      <c r="F7" s="5" t="inlineStr">
        <is>
          <t>Premium</t>
        </is>
      </c>
      <c r="G7" s="3" t="n">
        <v>68</v>
      </c>
      <c r="H7" s="6" t="n">
        <v>0</v>
      </c>
      <c r="I7" s="12" t="inlineStr">
        <is>
          <t>Moderate</t>
        </is>
      </c>
      <c r="J7" s="6" t="n">
        <v>408</v>
      </c>
    </row>
    <row r="8" ht="15.75" customHeight="1">
      <c r="B8" s="7" t="inlineStr">
        <is>
          <t>Q1 2025</t>
        </is>
      </c>
      <c r="C8" s="8" t="inlineStr">
        <is>
          <t>SPR Corridor</t>
        </is>
      </c>
      <c r="D8" s="7" t="n">
        <v>16000</v>
      </c>
      <c r="E8" s="7" t="n">
        <v>400</v>
      </c>
      <c r="F8" s="11" t="inlineStr">
        <is>
          <t>Ultra Luxury</t>
        </is>
      </c>
      <c r="G8" s="7" t="n">
        <v>54</v>
      </c>
      <c r="H8" s="6" t="n">
        <v>0</v>
      </c>
      <c r="I8" s="14" t="inlineStr">
        <is>
          <t>Stressed</t>
        </is>
      </c>
      <c r="J8" s="6" t="n">
        <v>216</v>
      </c>
    </row>
    <row r="9" ht="15.75" customHeight="1">
      <c r="B9" s="3" t="inlineStr">
        <is>
          <t>Q2 2025</t>
        </is>
      </c>
      <c r="C9" s="4" t="inlineStr">
        <is>
          <t>Dwarka Expressway</t>
        </is>
      </c>
      <c r="D9" s="3" t="n">
        <v>14800</v>
      </c>
      <c r="E9" s="3" t="n">
        <v>1400</v>
      </c>
      <c r="F9" s="10" t="inlineStr">
        <is>
          <t>Luxury</t>
        </is>
      </c>
      <c r="G9" s="3" t="n">
        <v>63</v>
      </c>
      <c r="H9" s="6" t="n">
        <v>5.7</v>
      </c>
      <c r="I9" s="12" t="inlineStr">
        <is>
          <t>Moderate</t>
        </is>
      </c>
      <c r="J9" s="6" t="n">
        <v>882</v>
      </c>
    </row>
    <row r="10" ht="15.75" customHeight="1">
      <c r="B10" s="7" t="inlineStr">
        <is>
          <t>Q2 2025</t>
        </is>
      </c>
      <c r="C10" s="8" t="inlineStr">
        <is>
          <t>Manesar</t>
        </is>
      </c>
      <c r="D10" s="7" t="n">
        <v>8900</v>
      </c>
      <c r="E10" s="7" t="n">
        <v>900</v>
      </c>
      <c r="F10" s="9" t="inlineStr">
        <is>
          <t>Mid-Segment</t>
        </is>
      </c>
      <c r="G10" s="7" t="n">
        <v>79</v>
      </c>
      <c r="H10" s="6" t="n">
        <v>4.7</v>
      </c>
      <c r="I10" s="13" t="inlineStr">
        <is>
          <t>Affordable</t>
        </is>
      </c>
      <c r="J10" s="6" t="n">
        <v>711</v>
      </c>
    </row>
    <row r="11" ht="15.75" customHeight="1">
      <c r="B11" s="3" t="inlineStr">
        <is>
          <t>Q2 2025</t>
        </is>
      </c>
      <c r="C11" s="4" t="inlineStr">
        <is>
          <t>New Gurgaon</t>
        </is>
      </c>
      <c r="D11" s="3" t="n">
        <v>11800</v>
      </c>
      <c r="E11" s="3" t="n">
        <v>700</v>
      </c>
      <c r="F11" s="5" t="inlineStr">
        <is>
          <t>Premium</t>
        </is>
      </c>
      <c r="G11" s="3" t="n">
        <v>69</v>
      </c>
      <c r="H11" s="6" t="n">
        <v>7.3</v>
      </c>
      <c r="I11" s="12" t="inlineStr">
        <is>
          <t>Moderate</t>
        </is>
      </c>
      <c r="J11" s="6" t="n">
        <v>483</v>
      </c>
    </row>
    <row r="12" ht="15.75" customHeight="1">
      <c r="B12" s="7" t="inlineStr">
        <is>
          <t>Q2 2025</t>
        </is>
      </c>
      <c r="C12" s="8" t="inlineStr">
        <is>
          <t>SPR Corridor</t>
        </is>
      </c>
      <c r="D12" s="7" t="n">
        <v>17000</v>
      </c>
      <c r="E12" s="7" t="n">
        <v>500</v>
      </c>
      <c r="F12" s="11" t="inlineStr">
        <is>
          <t>Ultra Luxury</t>
        </is>
      </c>
      <c r="G12" s="7" t="n">
        <v>55</v>
      </c>
      <c r="H12" s="6" t="n">
        <v>6.2</v>
      </c>
      <c r="I12" s="12" t="inlineStr">
        <is>
          <t>Moderate</t>
        </is>
      </c>
      <c r="J12" s="6" t="n">
        <v>275</v>
      </c>
    </row>
    <row r="13" ht="15.75" customHeight="1">
      <c r="B13" s="3" t="inlineStr">
        <is>
          <t>Q3 2025</t>
        </is>
      </c>
      <c r="C13" s="4" t="inlineStr">
        <is>
          <t>Dwarka Expressway</t>
        </is>
      </c>
      <c r="D13" s="3" t="n">
        <v>15500</v>
      </c>
      <c r="E13" s="3" t="n">
        <v>1600</v>
      </c>
      <c r="F13" s="10" t="inlineStr">
        <is>
          <t>Luxury</t>
        </is>
      </c>
      <c r="G13" s="3" t="n">
        <v>65</v>
      </c>
      <c r="H13" s="15" t="n">
        <v>10.7</v>
      </c>
      <c r="I13" s="12" t="inlineStr">
        <is>
          <t>Moderate</t>
        </is>
      </c>
      <c r="J13" s="6" t="n">
        <v>1040</v>
      </c>
    </row>
    <row r="14" ht="15.75" customHeight="1">
      <c r="B14" s="7" t="inlineStr">
        <is>
          <t>Q3 2025</t>
        </is>
      </c>
      <c r="C14" s="8" t="inlineStr">
        <is>
          <t>Manesar</t>
        </is>
      </c>
      <c r="D14" s="7" t="n">
        <v>9200</v>
      </c>
      <c r="E14" s="7" t="n">
        <v>1100</v>
      </c>
      <c r="F14" s="9" t="inlineStr">
        <is>
          <t>Mid-Segment</t>
        </is>
      </c>
      <c r="G14" s="7" t="n">
        <v>80</v>
      </c>
      <c r="H14" s="6" t="n">
        <v>8.199999999999999</v>
      </c>
      <c r="I14" s="13" t="inlineStr">
        <is>
          <t>Affordable</t>
        </is>
      </c>
      <c r="J14" s="6" t="n">
        <v>880</v>
      </c>
    </row>
    <row r="15" ht="15.75" customHeight="1">
      <c r="B15" s="3" t="inlineStr">
        <is>
          <t>Q3 2025</t>
        </is>
      </c>
      <c r="C15" s="4" t="inlineStr">
        <is>
          <t>New Gurgaon</t>
        </is>
      </c>
      <c r="D15" s="3" t="n">
        <v>12500</v>
      </c>
      <c r="E15" s="3" t="n">
        <v>900</v>
      </c>
      <c r="F15" s="5" t="inlineStr">
        <is>
          <t>Premium</t>
        </is>
      </c>
      <c r="G15" s="3" t="n">
        <v>70</v>
      </c>
      <c r="H15" s="15" t="n">
        <v>13.6</v>
      </c>
      <c r="I15" s="12" t="inlineStr">
        <is>
          <t>Moderate</t>
        </is>
      </c>
      <c r="J15" s="6" t="n">
        <v>630</v>
      </c>
    </row>
    <row r="16" ht="15.75" customHeight="1">
      <c r="B16" s="7" t="inlineStr">
        <is>
          <t>Q3 2025</t>
        </is>
      </c>
      <c r="C16" s="8" t="inlineStr">
        <is>
          <t>SPR Corridor</t>
        </is>
      </c>
      <c r="D16" s="7" t="n">
        <v>17800</v>
      </c>
      <c r="E16" s="7" t="n">
        <v>600</v>
      </c>
      <c r="F16" s="11" t="inlineStr">
        <is>
          <t>Ultra Luxury</t>
        </is>
      </c>
      <c r="G16" s="7" t="n">
        <v>56</v>
      </c>
      <c r="H16" s="15" t="n">
        <v>11.2</v>
      </c>
      <c r="I16" s="12" t="inlineStr">
        <is>
          <t>Moderate</t>
        </is>
      </c>
      <c r="J16" s="6" t="n">
        <v>336</v>
      </c>
    </row>
    <row r="17" ht="15.75" customHeight="1">
      <c r="B17" s="3" t="inlineStr">
        <is>
          <t>Q4 2025</t>
        </is>
      </c>
      <c r="C17" s="4" t="inlineStr">
        <is>
          <t>Dwarka Expressway</t>
        </is>
      </c>
      <c r="D17" s="3" t="n">
        <v>16200</v>
      </c>
      <c r="E17" s="3" t="n">
        <v>1800</v>
      </c>
      <c r="F17" s="10" t="inlineStr">
        <is>
          <t>Luxury</t>
        </is>
      </c>
      <c r="G17" s="3" t="n">
        <v>66</v>
      </c>
      <c r="H17" s="15" t="n">
        <v>15.7</v>
      </c>
      <c r="I17" s="12" t="inlineStr">
        <is>
          <t>Moderate</t>
        </is>
      </c>
      <c r="J17" s="6" t="n">
        <v>1188</v>
      </c>
    </row>
    <row r="18" ht="15.75" customHeight="1">
      <c r="B18" s="7" t="inlineStr">
        <is>
          <t>Q4 2025</t>
        </is>
      </c>
      <c r="C18" s="8" t="inlineStr">
        <is>
          <t>Manesar</t>
        </is>
      </c>
      <c r="D18" s="7" t="n">
        <v>9500</v>
      </c>
      <c r="E18" s="7" t="n">
        <v>1300</v>
      </c>
      <c r="F18" s="9" t="inlineStr">
        <is>
          <t>Mid-Segment</t>
        </is>
      </c>
      <c r="G18" s="7" t="n">
        <v>82</v>
      </c>
      <c r="H18" s="15" t="n">
        <v>11.8</v>
      </c>
      <c r="I18" s="13" t="inlineStr">
        <is>
          <t>Affordable</t>
        </is>
      </c>
      <c r="J18" s="6" t="n">
        <v>1066</v>
      </c>
    </row>
    <row r="19" ht="15.75" customHeight="1">
      <c r="B19" s="3" t="inlineStr">
        <is>
          <t>Q4 2025</t>
        </is>
      </c>
      <c r="C19" s="4" t="inlineStr">
        <is>
          <t>New Gurgaon</t>
        </is>
      </c>
      <c r="D19" s="3" t="n">
        <v>13200</v>
      </c>
      <c r="E19" s="3" t="n">
        <v>1100</v>
      </c>
      <c r="F19" s="5" t="inlineStr">
        <is>
          <t>Premium</t>
        </is>
      </c>
      <c r="G19" s="3" t="n">
        <v>71</v>
      </c>
      <c r="H19" s="15" t="n">
        <v>20</v>
      </c>
      <c r="I19" s="12" t="inlineStr">
        <is>
          <t>Moderate</t>
        </is>
      </c>
      <c r="J19" s="6" t="n">
        <v>781</v>
      </c>
    </row>
    <row r="20" ht="15.75" customHeight="1">
      <c r="B20" s="7" t="inlineStr">
        <is>
          <t>Q4 2025</t>
        </is>
      </c>
      <c r="C20" s="8" t="inlineStr">
        <is>
          <t>SPR Corridor</t>
        </is>
      </c>
      <c r="D20" s="7" t="n">
        <v>18500</v>
      </c>
      <c r="E20" s="7" t="n">
        <v>700</v>
      </c>
      <c r="F20" s="11" t="inlineStr">
        <is>
          <t>Ultra Luxury</t>
        </is>
      </c>
      <c r="G20" s="7" t="n">
        <v>57</v>
      </c>
      <c r="H20" s="15" t="n">
        <v>15.6</v>
      </c>
      <c r="I20" s="12" t="inlineStr">
        <is>
          <t>Moderate</t>
        </is>
      </c>
      <c r="J20" s="6" t="n">
        <v>399</v>
      </c>
    </row>
    <row r="21" ht="15.75" customHeight="1">
      <c r="B21" s="3" t="inlineStr">
        <is>
          <t>Q1 2026</t>
        </is>
      </c>
      <c r="C21" s="4" t="inlineStr">
        <is>
          <t>Dwarka Expressway</t>
        </is>
      </c>
      <c r="D21" s="3" t="n">
        <v>16800</v>
      </c>
      <c r="E21" s="3" t="n">
        <v>2100</v>
      </c>
      <c r="F21" s="10" t="inlineStr">
        <is>
          <t>Luxury</t>
        </is>
      </c>
      <c r="G21" s="3" t="n">
        <v>68</v>
      </c>
      <c r="H21" s="15" t="n">
        <v>20</v>
      </c>
      <c r="I21" s="12" t="inlineStr">
        <is>
          <t>Moderate</t>
        </is>
      </c>
      <c r="J21" s="6" t="n">
        <v>1428</v>
      </c>
    </row>
    <row r="22" ht="15.75" customHeight="1">
      <c r="B22" s="7" t="inlineStr">
        <is>
          <t>Q1 2026</t>
        </is>
      </c>
      <c r="C22" s="8" t="inlineStr">
        <is>
          <t>Manesar</t>
        </is>
      </c>
      <c r="D22" s="7" t="n">
        <v>9800</v>
      </c>
      <c r="E22" s="7" t="n">
        <v>1500</v>
      </c>
      <c r="F22" s="9" t="inlineStr">
        <is>
          <t>Mid-Segment</t>
        </is>
      </c>
      <c r="G22" s="7" t="n">
        <v>84</v>
      </c>
      <c r="H22" s="15" t="n">
        <v>15.3</v>
      </c>
      <c r="I22" s="13" t="inlineStr">
        <is>
          <t>Affordable</t>
        </is>
      </c>
      <c r="J22" s="6" t="n">
        <v>1260</v>
      </c>
    </row>
    <row r="23" ht="15.75" customHeight="1">
      <c r="B23" s="3" t="inlineStr">
        <is>
          <t>Q1 2026</t>
        </is>
      </c>
      <c r="C23" s="4" t="inlineStr">
        <is>
          <t>New Gurgaon</t>
        </is>
      </c>
      <c r="D23" s="3" t="n">
        <v>13800</v>
      </c>
      <c r="E23" s="3" t="n">
        <v>1300</v>
      </c>
      <c r="F23" s="5" t="inlineStr">
        <is>
          <t>Premium</t>
        </is>
      </c>
      <c r="G23" s="3" t="n">
        <v>72</v>
      </c>
      <c r="H23" s="15" t="n">
        <v>25.5</v>
      </c>
      <c r="I23" s="12" t="inlineStr">
        <is>
          <t>Moderate</t>
        </is>
      </c>
      <c r="J23" s="6" t="n">
        <v>936</v>
      </c>
    </row>
    <row r="24" ht="15.75" customHeight="1">
      <c r="B24" s="7" t="inlineStr">
        <is>
          <t>Q1 2026</t>
        </is>
      </c>
      <c r="C24" s="8" t="inlineStr">
        <is>
          <t>SPR Corridor</t>
        </is>
      </c>
      <c r="D24" s="7" t="n">
        <v>19200</v>
      </c>
      <c r="E24" s="7" t="n">
        <v>800</v>
      </c>
      <c r="F24" s="11" t="inlineStr">
        <is>
          <t>Ultra Luxury</t>
        </is>
      </c>
      <c r="G24" s="7" t="n">
        <v>58</v>
      </c>
      <c r="H24" s="15" t="n">
        <v>20</v>
      </c>
      <c r="I24" s="12" t="inlineStr">
        <is>
          <t>Moderate</t>
        </is>
      </c>
      <c r="J24" s="6" t="n">
        <v>464</v>
      </c>
    </row>
  </sheetData>
  <mergeCells count="3">
    <mergeCell ref="B1:J1"/>
    <mergeCell ref="B3:J3"/>
    <mergeCell ref="B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zoomScaleNormal="100" workbookViewId="0">
      <selection activeCell="B4" sqref="B4"/>
    </sheetView>
  </sheetViews>
  <sheetFormatPr baseColWidth="8" defaultColWidth="8.6640625" defaultRowHeight="14.4"/>
  <cols>
    <col width="2" customWidth="1" min="1" max="1"/>
    <col width="12" customWidth="1" min="2" max="2"/>
    <col width="24" customWidth="1" min="3" max="3"/>
    <col width="14" customWidth="1" min="4" max="4"/>
    <col width="18" customWidth="1" min="5" max="5"/>
    <col width="16" customWidth="1" min="6" max="9"/>
    <col width="2" customWidth="1" min="10" max="10"/>
  </cols>
  <sheetData>
    <row r="1" ht="36" customHeight="1">
      <c r="B1" s="23" t="inlineStr">
        <is>
          <t>VACANCY &amp; RENTAL TRACKER + CALCULATED COLUMNS</t>
        </is>
      </c>
    </row>
    <row r="2" ht="18" customHeight="1">
      <c r="B2" s="24" t="inlineStr">
        <is>
          <t>Source: C&amp;W NCR MarketBeat Q1 2026 | Gold = Calculated Fields</t>
        </is>
      </c>
    </row>
    <row r="3">
      <c r="B3" s="25" t="inlineStr">
        <is>
          <t>📌 Vacancy Compression = drop vs Q1 2025 base. Rental Yield = annualised rent / assumed capital value. Performance Signal drives KPI card color.</t>
        </is>
      </c>
    </row>
    <row r="4" ht="26.4" customHeight="1">
      <c r="B4" s="1" t="inlineStr">
        <is>
          <t>Quarter</t>
        </is>
      </c>
      <c r="C4" s="1" t="inlineStr">
        <is>
          <t>Asset Class</t>
        </is>
      </c>
      <c r="D4" s="1" t="inlineStr">
        <is>
          <t>Vacancy (%)</t>
        </is>
      </c>
      <c r="E4" s="1" t="inlineStr">
        <is>
          <t>Rental Rate (Rs/sqft)</t>
        </is>
      </c>
      <c r="F4" s="1" t="inlineStr">
        <is>
          <t>QoQ Change (%)</t>
        </is>
      </c>
      <c r="G4" s="2" t="inlineStr">
        <is>
          <t>Vacancy Compression</t>
        </is>
      </c>
      <c r="H4" s="2" t="inlineStr">
        <is>
          <t>Rental Yield Est (%)</t>
        </is>
      </c>
      <c r="I4" s="2" t="inlineStr">
        <is>
          <t>Performance Signal</t>
        </is>
      </c>
    </row>
    <row r="5" ht="15.75" customHeight="1">
      <c r="B5" s="3" t="inlineStr">
        <is>
          <t>Q1 2025</t>
        </is>
      </c>
      <c r="C5" s="4" t="inlineStr">
        <is>
          <t>Grade A Office</t>
        </is>
      </c>
      <c r="D5" s="5" t="n">
        <v>14.2</v>
      </c>
      <c r="E5" s="3" t="n">
        <v>85</v>
      </c>
      <c r="F5" s="3" t="n">
        <v>2.1</v>
      </c>
      <c r="G5" s="16" t="n">
        <v>0</v>
      </c>
      <c r="H5" s="6" t="n">
        <v>12</v>
      </c>
      <c r="I5" s="12" t="inlineStr">
        <is>
          <t>Stable</t>
        </is>
      </c>
    </row>
    <row r="6" ht="15.75" customHeight="1">
      <c r="B6" s="7" t="inlineStr">
        <is>
          <t>Q1 2025</t>
        </is>
      </c>
      <c r="C6" s="8" t="inlineStr">
        <is>
          <t>Retail Mall</t>
        </is>
      </c>
      <c r="D6" s="9" t="n">
        <v>10.5</v>
      </c>
      <c r="E6" s="7" t="n">
        <v>120</v>
      </c>
      <c r="F6" s="7" t="n">
        <v>1.8</v>
      </c>
      <c r="G6" s="16" t="n">
        <v>0</v>
      </c>
      <c r="H6" s="6" t="n">
        <v>26.2</v>
      </c>
      <c r="I6" s="12" t="inlineStr">
        <is>
          <t>Stable</t>
        </is>
      </c>
    </row>
    <row r="7" ht="15.75" customHeight="1">
      <c r="B7" s="3" t="inlineStr">
        <is>
          <t>Q1 2025</t>
        </is>
      </c>
      <c r="C7" s="4" t="inlineStr">
        <is>
          <t>Retail High Street</t>
        </is>
      </c>
      <c r="D7" s="10" t="n">
        <v>8.199999999999999</v>
      </c>
      <c r="E7" s="3" t="n">
        <v>95</v>
      </c>
      <c r="F7" s="3" t="n">
        <v>1.2</v>
      </c>
      <c r="G7" s="16" t="n">
        <v>0</v>
      </c>
      <c r="H7" s="6" t="n">
        <v>27.1</v>
      </c>
      <c r="I7" s="14" t="inlineStr">
        <is>
          <t>Weak</t>
        </is>
      </c>
    </row>
    <row r="8" ht="15.75" customHeight="1">
      <c r="B8" s="7" t="inlineStr">
        <is>
          <t>Q2 2025</t>
        </is>
      </c>
      <c r="C8" s="8" t="inlineStr">
        <is>
          <t>Grade A Office</t>
        </is>
      </c>
      <c r="D8" s="5" t="n">
        <v>13.8</v>
      </c>
      <c r="E8" s="7" t="n">
        <v>88</v>
      </c>
      <c r="F8" s="7" t="n">
        <v>2.4</v>
      </c>
      <c r="G8" s="17" t="n">
        <v>0.4</v>
      </c>
      <c r="H8" s="6" t="n">
        <v>12.4</v>
      </c>
      <c r="I8" s="12" t="inlineStr">
        <is>
          <t>Stable</t>
        </is>
      </c>
    </row>
    <row r="9" ht="15.75" customHeight="1">
      <c r="B9" s="3" t="inlineStr">
        <is>
          <t>Q2 2025</t>
        </is>
      </c>
      <c r="C9" s="4" t="inlineStr">
        <is>
          <t>Retail Mall</t>
        </is>
      </c>
      <c r="D9" s="9" t="n">
        <v>9.800000000000001</v>
      </c>
      <c r="E9" s="3" t="n">
        <v>124</v>
      </c>
      <c r="F9" s="3" t="n">
        <v>2.1</v>
      </c>
      <c r="G9" s="17" t="n">
        <v>0.7</v>
      </c>
      <c r="H9" s="6" t="n">
        <v>27.1</v>
      </c>
      <c r="I9" s="12" t="inlineStr">
        <is>
          <t>Stable</t>
        </is>
      </c>
    </row>
    <row r="10" ht="15.75" customHeight="1">
      <c r="B10" s="7" t="inlineStr">
        <is>
          <t>Q2 2025</t>
        </is>
      </c>
      <c r="C10" s="8" t="inlineStr">
        <is>
          <t>Retail High Street</t>
        </is>
      </c>
      <c r="D10" s="10" t="n">
        <v>7.9</v>
      </c>
      <c r="E10" s="7" t="n">
        <v>98</v>
      </c>
      <c r="F10" s="7" t="n">
        <v>1.5</v>
      </c>
      <c r="G10" s="17" t="n">
        <v>0.3</v>
      </c>
      <c r="H10" s="6" t="n">
        <v>28</v>
      </c>
      <c r="I10" s="14" t="inlineStr">
        <is>
          <t>Weak</t>
        </is>
      </c>
    </row>
    <row r="11" ht="15.75" customHeight="1">
      <c r="B11" s="3" t="inlineStr">
        <is>
          <t>Q3 2025</t>
        </is>
      </c>
      <c r="C11" s="4" t="inlineStr">
        <is>
          <t>Grade A Office</t>
        </is>
      </c>
      <c r="D11" s="5" t="n">
        <v>13.1</v>
      </c>
      <c r="E11" s="3" t="n">
        <v>91</v>
      </c>
      <c r="F11" s="3" t="n">
        <v>2.8</v>
      </c>
      <c r="G11" s="17" t="n">
        <v>1.1</v>
      </c>
      <c r="H11" s="6" t="n">
        <v>12.8</v>
      </c>
      <c r="I11" s="13" t="inlineStr">
        <is>
          <t>Strong</t>
        </is>
      </c>
    </row>
    <row r="12" ht="15.75" customHeight="1">
      <c r="B12" s="7" t="inlineStr">
        <is>
          <t>Q3 2025</t>
        </is>
      </c>
      <c r="C12" s="8" t="inlineStr">
        <is>
          <t>Retail Mall</t>
        </is>
      </c>
      <c r="D12" s="9" t="n">
        <v>9.199999999999999</v>
      </c>
      <c r="E12" s="7" t="n">
        <v>128</v>
      </c>
      <c r="F12" s="7" t="n">
        <v>2.4</v>
      </c>
      <c r="G12" s="17" t="n">
        <v>1.3</v>
      </c>
      <c r="H12" s="6" t="n">
        <v>27.9</v>
      </c>
      <c r="I12" s="12" t="inlineStr">
        <is>
          <t>Stable</t>
        </is>
      </c>
    </row>
    <row r="13" ht="15.75" customHeight="1">
      <c r="B13" s="3" t="inlineStr">
        <is>
          <t>Q3 2025</t>
        </is>
      </c>
      <c r="C13" s="4" t="inlineStr">
        <is>
          <t>Retail High Street</t>
        </is>
      </c>
      <c r="D13" s="10" t="n">
        <v>7.5</v>
      </c>
      <c r="E13" s="3" t="n">
        <v>101</v>
      </c>
      <c r="F13" s="3" t="n">
        <v>1.8</v>
      </c>
      <c r="G13" s="17" t="n">
        <v>0.7</v>
      </c>
      <c r="H13" s="6" t="n">
        <v>28.9</v>
      </c>
      <c r="I13" s="12" t="inlineStr">
        <is>
          <t>Stable</t>
        </is>
      </c>
    </row>
    <row r="14" ht="15.75" customHeight="1">
      <c r="B14" s="7" t="inlineStr">
        <is>
          <t>Q4 2025</t>
        </is>
      </c>
      <c r="C14" s="8" t="inlineStr">
        <is>
          <t>Grade A Office</t>
        </is>
      </c>
      <c r="D14" s="5" t="n">
        <v>12.5</v>
      </c>
      <c r="E14" s="7" t="n">
        <v>95</v>
      </c>
      <c r="F14" s="7" t="n">
        <v>3.1</v>
      </c>
      <c r="G14" s="17" t="n">
        <v>1.7</v>
      </c>
      <c r="H14" s="6" t="n">
        <v>13.4</v>
      </c>
      <c r="I14" s="13" t="inlineStr">
        <is>
          <t>Strong</t>
        </is>
      </c>
    </row>
    <row r="15" ht="15.75" customHeight="1">
      <c r="B15" s="3" t="inlineStr">
        <is>
          <t>Q4 2025</t>
        </is>
      </c>
      <c r="C15" s="4" t="inlineStr">
        <is>
          <t>Retail Mall</t>
        </is>
      </c>
      <c r="D15" s="9" t="n">
        <v>8.5</v>
      </c>
      <c r="E15" s="3" t="n">
        <v>132</v>
      </c>
      <c r="F15" s="3" t="n">
        <v>2.8</v>
      </c>
      <c r="G15" s="17" t="n">
        <v>2</v>
      </c>
      <c r="H15" s="6" t="n">
        <v>28.8</v>
      </c>
      <c r="I15" s="13" t="inlineStr">
        <is>
          <t>Strong</t>
        </is>
      </c>
    </row>
    <row r="16" ht="15.75" customHeight="1">
      <c r="B16" s="7" t="inlineStr">
        <is>
          <t>Q4 2025</t>
        </is>
      </c>
      <c r="C16" s="8" t="inlineStr">
        <is>
          <t>Retail High Street</t>
        </is>
      </c>
      <c r="D16" s="10" t="n">
        <v>7.1</v>
      </c>
      <c r="E16" s="7" t="n">
        <v>104</v>
      </c>
      <c r="F16" s="7" t="n">
        <v>2</v>
      </c>
      <c r="G16" s="17" t="n">
        <v>1.1</v>
      </c>
      <c r="H16" s="6" t="n">
        <v>29.7</v>
      </c>
      <c r="I16" s="12" t="inlineStr">
        <is>
          <t>Stable</t>
        </is>
      </c>
    </row>
    <row r="17" ht="15.75" customHeight="1">
      <c r="B17" s="3" t="inlineStr">
        <is>
          <t>Q1 2026</t>
        </is>
      </c>
      <c r="C17" s="4" t="inlineStr">
        <is>
          <t>Grade A Office</t>
        </is>
      </c>
      <c r="D17" s="5" t="n">
        <v>11.8</v>
      </c>
      <c r="E17" s="3" t="n">
        <v>98</v>
      </c>
      <c r="F17" s="3" t="n">
        <v>3.4</v>
      </c>
      <c r="G17" s="15" t="n">
        <v>2.4</v>
      </c>
      <c r="H17" s="6" t="n">
        <v>13.8</v>
      </c>
      <c r="I17" s="13" t="inlineStr">
        <is>
          <t>Strong</t>
        </is>
      </c>
    </row>
    <row r="18" ht="15.75" customHeight="1">
      <c r="B18" s="7" t="inlineStr">
        <is>
          <t>Q1 2026</t>
        </is>
      </c>
      <c r="C18" s="8" t="inlineStr">
        <is>
          <t>Retail Mall</t>
        </is>
      </c>
      <c r="D18" s="9" t="n">
        <v>7.9</v>
      </c>
      <c r="E18" s="7" t="n">
        <v>136</v>
      </c>
      <c r="F18" s="7" t="n">
        <v>3.1</v>
      </c>
      <c r="G18" s="15" t="n">
        <v>2.6</v>
      </c>
      <c r="H18" s="6" t="n">
        <v>29.7</v>
      </c>
      <c r="I18" s="13" t="inlineStr">
        <is>
          <t>Strong</t>
        </is>
      </c>
    </row>
    <row r="19" ht="15.75" customHeight="1">
      <c r="B19" s="3" t="inlineStr">
        <is>
          <t>Q1 2026</t>
        </is>
      </c>
      <c r="C19" s="4" t="inlineStr">
        <is>
          <t>Retail High Street</t>
        </is>
      </c>
      <c r="D19" s="10" t="n">
        <v>6.8</v>
      </c>
      <c r="E19" s="3" t="n">
        <v>107</v>
      </c>
      <c r="F19" s="3" t="n">
        <v>2.2</v>
      </c>
      <c r="G19" s="17" t="n">
        <v>1.4</v>
      </c>
      <c r="H19" s="6" t="n">
        <v>30.6</v>
      </c>
      <c r="I19" s="12" t="inlineStr">
        <is>
          <t>Stable</t>
        </is>
      </c>
    </row>
  </sheetData>
  <mergeCells count="3">
    <mergeCell ref="B1:I1"/>
    <mergeCell ref="B2:I2"/>
    <mergeCell ref="B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4"/>
  <sheetViews>
    <sheetView showGridLines="0" tabSelected="1" zoomScaleNormal="100" workbookViewId="0">
      <selection activeCell="G15" sqref="G15"/>
    </sheetView>
  </sheetViews>
  <sheetFormatPr baseColWidth="8" defaultColWidth="8.6640625" defaultRowHeight="14.4"/>
  <cols>
    <col width="2" customWidth="1" min="1" max="1"/>
    <col width="22" customWidth="1" min="2" max="2"/>
    <col width="16" customWidth="1" min="3" max="5"/>
    <col width="14" customWidth="1" min="6" max="7"/>
    <col width="16" customWidth="1" min="8" max="8"/>
    <col width="26.44140625" bestFit="1" customWidth="1" min="9" max="9"/>
  </cols>
  <sheetData>
    <row r="1" ht="36" customHeight="1">
      <c r="B1" s="23" t="inlineStr">
        <is>
          <t>EARLY WARNING SIGNALS + RISK SCORE</t>
        </is>
      </c>
    </row>
    <row r="2" ht="18" customHeight="1">
      <c r="B2" s="24" t="inlineStr">
        <is>
          <t>Gold = Calculated Risk Score (0-10) | Used for Treemap size and Bullet chart threshold</t>
        </is>
      </c>
    </row>
    <row r="3">
      <c r="B3" s="25" t="inlineStr">
        <is>
          <t>📌 Risk Score: 1-3=Low, 4-6=Medium, 7-10=High. Drives Treemap color and size in Tableau dashboard.</t>
        </is>
      </c>
    </row>
    <row r="4" ht="26.4" customHeight="1">
      <c r="B4" s="1" t="inlineStr">
        <is>
          <t>Micro-Market / Corridor</t>
        </is>
      </c>
      <c r="C4" s="1" t="inlineStr">
        <is>
          <t>Supply Pipeline (MSF)</t>
        </is>
      </c>
      <c r="D4" s="1" t="inlineStr">
        <is>
          <t>Demand Run Rate (MSF)</t>
        </is>
      </c>
      <c r="E4" s="1" t="inlineStr">
        <is>
          <t>Vacancy Trend</t>
        </is>
      </c>
      <c r="F4" s="1" t="inlineStr">
        <is>
          <t>Risk Signal</t>
        </is>
      </c>
      <c r="G4" s="2" t="inlineStr">
        <is>
          <t>Demand Supply Gap (000 sqft)</t>
        </is>
      </c>
      <c r="H4" s="2" t="inlineStr">
        <is>
          <t>Risk Score (0-10)</t>
        </is>
      </c>
    </row>
    <row r="5" ht="18" customHeight="1">
      <c r="B5" s="4" t="inlineStr">
        <is>
          <t>Cyber City</t>
        </is>
      </c>
      <c r="C5" s="3" t="n">
        <v>2.1</v>
      </c>
      <c r="D5" s="3" t="n">
        <v>1.9</v>
      </c>
      <c r="E5" s="3" t="inlineStr">
        <is>
          <t>Compressing</t>
        </is>
      </c>
      <c r="F5" s="12" t="inlineStr">
        <is>
          <t>Watch</t>
        </is>
      </c>
      <c r="G5" s="18" t="n">
        <v>-200</v>
      </c>
      <c r="H5" s="12" t="n">
        <v>4</v>
      </c>
    </row>
    <row r="6" ht="18" customHeight="1">
      <c r="B6" s="8" t="inlineStr">
        <is>
          <t>NH-8 Corridor</t>
        </is>
      </c>
      <c r="C6" s="7" t="n">
        <v>1.6</v>
      </c>
      <c r="D6" s="7" t="n">
        <v>1.4</v>
      </c>
      <c r="E6" s="7" t="inlineStr">
        <is>
          <t>Compressing</t>
        </is>
      </c>
      <c r="F6" s="13" t="inlineStr">
        <is>
          <t>Healthy</t>
        </is>
      </c>
      <c r="G6" s="18" t="n">
        <v>-200</v>
      </c>
      <c r="H6" s="13" t="n">
        <v>1</v>
      </c>
    </row>
    <row r="7" ht="18" customHeight="1">
      <c r="B7" s="4" t="inlineStr">
        <is>
          <t>DLF Cyber Hub</t>
        </is>
      </c>
      <c r="C7" s="3" t="n">
        <v>0.9</v>
      </c>
      <c r="D7" s="3" t="n">
        <v>1</v>
      </c>
      <c r="E7" s="3" t="inlineStr">
        <is>
          <t>Stable</t>
        </is>
      </c>
      <c r="F7" s="13" t="inlineStr">
        <is>
          <t>Healthy</t>
        </is>
      </c>
      <c r="G7" s="15" t="n">
        <v>100</v>
      </c>
      <c r="H7" s="13" t="n">
        <v>2</v>
      </c>
    </row>
    <row r="8" ht="18" customHeight="1">
      <c r="B8" s="8" t="inlineStr">
        <is>
          <t>Noida Expressway</t>
        </is>
      </c>
      <c r="C8" s="7" t="n">
        <v>1.2</v>
      </c>
      <c r="D8" s="7" t="n">
        <v>0.9</v>
      </c>
      <c r="E8" s="7" t="inlineStr">
        <is>
          <t>Rising</t>
        </is>
      </c>
      <c r="F8" s="14" t="inlineStr">
        <is>
          <t>Alert</t>
        </is>
      </c>
      <c r="G8" s="18" t="n">
        <v>-300</v>
      </c>
      <c r="H8" s="14" t="n">
        <v>10</v>
      </c>
    </row>
    <row r="9" ht="18" customHeight="1">
      <c r="B9" s="4" t="inlineStr">
        <is>
          <t>Dwarka Expressway</t>
        </is>
      </c>
      <c r="C9" s="3" t="n">
        <v>2.4</v>
      </c>
      <c r="D9" s="3" t="n">
        <v>2.1</v>
      </c>
      <c r="E9" s="3" t="inlineStr">
        <is>
          <t>Stable</t>
        </is>
      </c>
      <c r="F9" s="12" t="inlineStr">
        <is>
          <t>Watch</t>
        </is>
      </c>
      <c r="G9" s="18" t="n">
        <v>-300</v>
      </c>
      <c r="H9" s="12" t="n">
        <v>5</v>
      </c>
    </row>
    <row r="10" ht="18" customHeight="1">
      <c r="B10" s="8" t="inlineStr">
        <is>
          <t>Manesar</t>
        </is>
      </c>
      <c r="C10" s="7" t="n">
        <v>1.1</v>
      </c>
      <c r="D10" s="7" t="n">
        <v>1.5</v>
      </c>
      <c r="E10" s="7" t="inlineStr">
        <is>
          <t>Compressing</t>
        </is>
      </c>
      <c r="F10" s="13" t="inlineStr">
        <is>
          <t>Healthy</t>
        </is>
      </c>
      <c r="G10" s="15" t="n">
        <v>400</v>
      </c>
      <c r="H10" s="13" t="n">
        <v>1</v>
      </c>
    </row>
    <row r="11" ht="18" customHeight="1">
      <c r="B11" s="4" t="inlineStr">
        <is>
          <t>SPR Corridor</t>
        </is>
      </c>
      <c r="C11" s="3" t="n">
        <v>0.6</v>
      </c>
      <c r="D11" s="3" t="n">
        <v>0.4</v>
      </c>
      <c r="E11" s="3" t="inlineStr">
        <is>
          <t>Rising</t>
        </is>
      </c>
      <c r="F11" s="14" t="inlineStr">
        <is>
          <t>Alert</t>
        </is>
      </c>
      <c r="G11" s="18" t="n">
        <v>-200</v>
      </c>
      <c r="H11" s="14" t="n">
        <v>10</v>
      </c>
    </row>
    <row r="12" ht="18" customHeight="1">
      <c r="B12" s="8" t="inlineStr">
        <is>
          <t>Retail Malls NCR</t>
        </is>
      </c>
      <c r="C12" s="7" t="n">
        <v>0.3</v>
      </c>
      <c r="D12" s="7" t="n">
        <v>0.6</v>
      </c>
      <c r="E12" s="7" t="inlineStr">
        <is>
          <t>Compressing</t>
        </is>
      </c>
      <c r="F12" s="13" t="inlineStr">
        <is>
          <t>Healthy</t>
        </is>
      </c>
      <c r="G12" s="15" t="n">
        <v>300</v>
      </c>
      <c r="H12" s="13" t="n">
        <v>1</v>
      </c>
    </row>
    <row r="13" ht="18" customHeight="1">
      <c r="B13" s="4" t="inlineStr">
        <is>
          <t>Golf Course Ext</t>
        </is>
      </c>
      <c r="C13" s="3" t="n">
        <v>0.8</v>
      </c>
      <c r="D13" s="3" t="n">
        <v>0.7</v>
      </c>
      <c r="E13" s="3" t="inlineStr">
        <is>
          <t>Stable</t>
        </is>
      </c>
      <c r="F13" s="12" t="inlineStr">
        <is>
          <t>Watch</t>
        </is>
      </c>
      <c r="G13" s="18" t="n">
        <v>-100</v>
      </c>
      <c r="H13" s="12" t="n">
        <v>5</v>
      </c>
    </row>
    <row r="14" ht="18" customHeight="1">
      <c r="B14" s="8" t="inlineStr">
        <is>
          <t>Sohna Road</t>
        </is>
      </c>
      <c r="C14" s="7" t="n">
        <v>1</v>
      </c>
      <c r="D14" s="7" t="n">
        <v>0.8</v>
      </c>
      <c r="E14" s="7" t="inlineStr">
        <is>
          <t>Rising</t>
        </is>
      </c>
      <c r="F14" s="12" t="inlineStr">
        <is>
          <t>Watch</t>
        </is>
      </c>
      <c r="G14" s="18" t="n">
        <v>-200</v>
      </c>
      <c r="H14" s="14" t="n">
        <v>7</v>
      </c>
    </row>
  </sheetData>
  <mergeCells count="3">
    <mergeCell ref="B1:H1"/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topLeftCell="A2" zoomScaleNormal="100" workbookViewId="0">
      <selection activeCell="G5" sqref="G5"/>
    </sheetView>
  </sheetViews>
  <sheetFormatPr baseColWidth="8" defaultColWidth="8.6640625" defaultRowHeight="14.4"/>
  <cols>
    <col width="2" customWidth="1" min="1" max="1"/>
    <col width="28" customWidth="1" min="2" max="2"/>
    <col width="20" customWidth="1" min="3" max="4"/>
    <col width="16" customWidth="1" min="5" max="6"/>
    <col width="2" customWidth="1" min="7" max="7"/>
  </cols>
  <sheetData>
    <row r="1" ht="36" customHeight="1">
      <c r="B1" s="23" t="inlineStr">
        <is>
          <t>KPI CARDS DATA — CONNECT TO TABLEAU KPI TILES</t>
        </is>
      </c>
    </row>
    <row r="2" ht="18" customHeight="1">
      <c r="B2" s="24" t="inlineStr">
        <is>
          <t>These 6 rows power the KPI strip at the top of the dashboard</t>
        </is>
      </c>
    </row>
    <row r="4">
      <c r="B4" s="19" t="inlineStr">
        <is>
          <t>KPI Name</t>
        </is>
      </c>
      <c r="C4" s="19" t="inlineStr">
        <is>
          <t>Current Value</t>
        </is>
      </c>
      <c r="D4" s="19" t="inlineStr">
        <is>
          <t>Previous Value</t>
        </is>
      </c>
      <c r="E4" s="19" t="inlineStr">
        <is>
          <t>Change</t>
        </is>
      </c>
      <c r="F4" s="19" t="inlineStr">
        <is>
          <t>Signal</t>
        </is>
      </c>
    </row>
    <row r="5" ht="19.5" customHeight="1">
      <c r="B5" s="4" t="inlineStr">
        <is>
          <t>Total Office Leasing Q1 2026 (MSF)</t>
        </is>
      </c>
      <c r="C5" s="3" t="n">
        <v>6.2</v>
      </c>
      <c r="D5" s="3" t="n">
        <v>5.8</v>
      </c>
      <c r="E5" s="3" t="inlineStr">
        <is>
          <t>+0.4 MSF</t>
        </is>
      </c>
      <c r="F5" s="13" t="inlineStr">
        <is>
          <t>Up</t>
        </is>
      </c>
    </row>
    <row r="6" ht="19.5" customHeight="1">
      <c r="B6" s="8" t="inlineStr">
        <is>
          <t>Avg Grade A Vacancy Q1 2026 (%)</t>
        </is>
      </c>
      <c r="C6" s="7" t="n">
        <v>11.8</v>
      </c>
      <c r="D6" s="7" t="n">
        <v>12.5</v>
      </c>
      <c r="E6" s="7" t="inlineStr">
        <is>
          <t>-0.7%</t>
        </is>
      </c>
      <c r="F6" s="13" t="inlineStr">
        <is>
          <t>Down - Good</t>
        </is>
      </c>
    </row>
    <row r="7" ht="19.5" customHeight="1">
      <c r="B7" s="4" t="inlineStr">
        <is>
          <t>Highest Growth Corridor</t>
        </is>
      </c>
      <c r="C7" s="3" t="inlineStr">
        <is>
          <t>NH-8 30%</t>
        </is>
      </c>
      <c r="D7" s="3" t="inlineStr">
        <is>
          <t>NH-8 28%</t>
        </is>
      </c>
      <c r="E7" s="3" t="inlineStr">
        <is>
          <t>+2pp</t>
        </is>
      </c>
      <c r="F7" s="13" t="inlineStr">
        <is>
          <t>Up</t>
        </is>
      </c>
    </row>
    <row r="8" ht="19.5" customHeight="1">
      <c r="B8" s="8" t="inlineStr">
        <is>
          <t>Most Affordable Market</t>
        </is>
      </c>
      <c r="C8" s="7" t="inlineStr">
        <is>
          <t>Manesar 84</t>
        </is>
      </c>
      <c r="D8" s="7" t="inlineStr">
        <is>
          <t>Manesar 82</t>
        </is>
      </c>
      <c r="E8" s="7" t="inlineStr">
        <is>
          <t>+2pts</t>
        </is>
      </c>
      <c r="F8" s="13" t="inlineStr">
        <is>
          <t>Up</t>
        </is>
      </c>
    </row>
    <row r="9" ht="19.5" customHeight="1">
      <c r="B9" s="4" t="inlineStr">
        <is>
          <t>Risk Zones (Alert Count)</t>
        </is>
      </c>
      <c r="C9" s="3" t="n">
        <v>2</v>
      </c>
      <c r="D9" s="3" t="n">
        <v>2</v>
      </c>
      <c r="E9" s="3" t="inlineStr">
        <is>
          <t>No Change</t>
        </is>
      </c>
      <c r="F9" s="12" t="inlineStr">
        <is>
          <t>Stable</t>
        </is>
      </c>
    </row>
    <row r="10" ht="19.5" customHeight="1">
      <c r="B10" s="8" t="inlineStr">
        <is>
          <t>Capital Inflow Q1 2026 (USD Bn)</t>
        </is>
      </c>
      <c r="C10" s="7" t="n">
        <v>5.1</v>
      </c>
      <c r="D10" s="7" t="n">
        <v>4.1</v>
      </c>
      <c r="E10" s="7" t="inlineStr">
        <is>
          <t>+1.0 Bn</t>
        </is>
      </c>
      <c r="F10" s="13" t="inlineStr">
        <is>
          <t>Up</t>
        </is>
      </c>
    </row>
  </sheetData>
  <mergeCells count="2">
    <mergeCell ref="B2:F2"/>
    <mergeCell ref="B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zoomScaleNormal="100" workbookViewId="0">
      <selection activeCell="C19" sqref="C19"/>
    </sheetView>
  </sheetViews>
  <sheetFormatPr baseColWidth="8" defaultColWidth="8.6640625" defaultRowHeight="14.4"/>
  <cols>
    <col width="2" customWidth="1" min="1" max="1"/>
    <col width="28" customWidth="1" min="2" max="2"/>
    <col width="30" customWidth="1" min="3" max="3"/>
    <col width="2" customWidth="1" min="4" max="4"/>
  </cols>
  <sheetData>
    <row r="1" ht="36" customHeight="1">
      <c r="B1" s="23" t="inlineStr">
        <is>
          <t>COLOUR LEGEND &amp; TABLEAU CONNECTION GUIDE</t>
        </is>
      </c>
    </row>
    <row r="2" ht="18" customHeight="1">
      <c r="B2" s="24" t="inlineStr">
        <is>
          <t>How to read calculated columns and connect sheets in Tableau</t>
        </is>
      </c>
    </row>
    <row r="5" ht="18" customHeight="1">
      <c r="B5" s="20" t="inlineStr">
        <is>
          <t>NAVY header</t>
        </is>
      </c>
      <c r="C5" s="21" t="inlineStr">
        <is>
          <t>Base data column — drag directly to Tableau</t>
        </is>
      </c>
    </row>
    <row r="6" ht="18" customHeight="1">
      <c r="B6" s="20" t="inlineStr">
        <is>
          <t>GOLD header</t>
        </is>
      </c>
      <c r="C6" s="22" t="inlineStr">
        <is>
          <t>Calculated column — recreate as Tableau Calculated Field</t>
        </is>
      </c>
    </row>
    <row r="7" ht="18" customHeight="1">
      <c r="B7" s="20" t="inlineStr">
        <is>
          <t>GREEN cell</t>
        </is>
      </c>
      <c r="C7" s="21" t="inlineStr">
        <is>
          <t>Positive signal — use for Green KPI card color</t>
        </is>
      </c>
    </row>
    <row r="8" ht="18" customHeight="1">
      <c r="B8" s="20" t="inlineStr">
        <is>
          <t>YELLOW cell</t>
        </is>
      </c>
      <c r="C8" s="22" t="inlineStr">
        <is>
          <t>Watch/Neutral signal — use for Amber KPI card color</t>
        </is>
      </c>
    </row>
    <row r="9" ht="18" customHeight="1">
      <c r="B9" s="20" t="inlineStr">
        <is>
          <t>RED cell</t>
        </is>
      </c>
      <c r="C9" s="21" t="inlineStr">
        <is>
          <t>Alert/Negative signal — use for Red KPI card color</t>
        </is>
      </c>
    </row>
    <row r="10" ht="18" customHeight="1">
      <c r="B10" s="20" t="inlineStr">
        <is>
          <t>BLUE tint cell</t>
        </is>
      </c>
      <c r="C10" s="22" t="inlineStr">
        <is>
          <t>Calculated value — formula shown, editable in Excel</t>
        </is>
      </c>
    </row>
    <row r="11" ht="18" customHeight="1">
      <c r="B11" s="21" t="n"/>
      <c r="C11" s="21" t="n"/>
    </row>
    <row r="12" ht="18" customHeight="1">
      <c r="B12" s="20" t="inlineStr">
        <is>
          <t>JOIN KEYS FOR TABLEAU</t>
        </is>
      </c>
      <c r="C12" s="22" t="n"/>
    </row>
    <row r="13" ht="18" customHeight="1">
      <c r="B13" s="20" t="inlineStr">
        <is>
          <t>Office_Leasing + Vacancy_Rental</t>
        </is>
      </c>
      <c r="C13" s="21" t="inlineStr">
        <is>
          <t>Join on: Quarter</t>
        </is>
      </c>
    </row>
    <row r="14" ht="18" customHeight="1">
      <c r="B14" s="20" t="inlineStr">
        <is>
          <t>Residential + Office_Leasing</t>
        </is>
      </c>
      <c r="C14" s="22" t="inlineStr">
        <is>
          <t>Join on: Quarter</t>
        </is>
      </c>
    </row>
    <row r="15" ht="18" customHeight="1">
      <c r="B15" s="20" t="inlineStr">
        <is>
          <t>Early_Warning + Office_Leasing</t>
        </is>
      </c>
      <c r="C15" s="21" t="inlineStr">
        <is>
          <t>Join on: Corridor</t>
        </is>
      </c>
    </row>
    <row r="16" ht="18" customHeight="1">
      <c r="B16" s="20" t="inlineStr">
        <is>
          <t>KPI_Cards</t>
        </is>
      </c>
      <c r="C16" s="22" t="inlineStr">
        <is>
          <t>Standalone — no join needed, use as text/number source</t>
        </is>
      </c>
    </row>
  </sheetData>
  <mergeCells count="2">
    <mergeCell ref="B1:C1"/>
    <mergeCell ref="B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2026-06-26T06:38:40Z</dcterms:created>
  <dcterms:modified xmlns:dcterms="http://purl.org/dc/terms/" xmlns:xsi="http://www.w3.org/2001/XMLSchema-instance" xsi:type="dcterms:W3CDTF">2026-06-27T16:53:50Z</dcterms:modified>
  <cp:lastModifiedBy>rachit bhatt</cp:lastModifiedBy>
  <cp:revision>0</cp:revision>
</cp:coreProperties>
</file>